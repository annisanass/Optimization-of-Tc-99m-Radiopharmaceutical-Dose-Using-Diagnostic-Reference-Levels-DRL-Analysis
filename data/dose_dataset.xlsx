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SIKA\Semester 8\DRAFT SKRIPSI\DATA\"/>
    </mc:Choice>
  </mc:AlternateContent>
  <xr:revisionPtr revIDLastSave="0" documentId="13_ncr:1_{CA294FFF-685D-4C7C-98AD-C35A44374ACC}" xr6:coauthVersionLast="47" xr6:coauthVersionMax="47" xr10:uidLastSave="{00000000-0000-0000-0000-000000000000}"/>
  <bookViews>
    <workbookView xWindow="-108" yWindow="-108" windowWidth="23256" windowHeight="12456" xr2:uid="{366DCD1A-2E92-422A-A937-E6A6253CD97C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1" l="1"/>
  <c r="G28" i="1"/>
  <c r="G25" i="1"/>
  <c r="G22" i="1"/>
  <c r="G31" i="1"/>
  <c r="G30" i="1"/>
  <c r="G29" i="1"/>
  <c r="G27" i="1"/>
  <c r="G26" i="1"/>
  <c r="G24" i="1"/>
  <c r="G23" i="1"/>
  <c r="G21" i="1"/>
  <c r="G20" i="1"/>
  <c r="E22" i="1"/>
  <c r="E25" i="1"/>
  <c r="E28" i="1"/>
  <c r="G3" i="1"/>
  <c r="E20" i="1"/>
  <c r="E21" i="1"/>
  <c r="E23" i="1"/>
  <c r="E24" i="1"/>
  <c r="E26" i="1"/>
  <c r="E27" i="1"/>
  <c r="E29" i="1"/>
  <c r="E30" i="1"/>
  <c r="E31" i="1"/>
  <c r="E19" i="1"/>
  <c r="E5" i="1"/>
  <c r="E6" i="1"/>
  <c r="E4" i="1"/>
  <c r="G4" i="1" l="1"/>
  <c r="G5" i="1"/>
  <c r="G6" i="1"/>
  <c r="G7" i="1"/>
  <c r="G8" i="1"/>
  <c r="G9" i="1"/>
  <c r="G10" i="1"/>
  <c r="G11" i="1"/>
  <c r="G12" i="1"/>
  <c r="G13" i="1"/>
  <c r="G14" i="1"/>
  <c r="G15" i="1"/>
  <c r="E3" i="1"/>
  <c r="E7" i="1"/>
  <c r="E8" i="1"/>
  <c r="E9" i="1"/>
  <c r="E10" i="1"/>
  <c r="E11" i="1"/>
  <c r="E12" i="1"/>
  <c r="E13" i="1"/>
  <c r="E14" i="1"/>
  <c r="E15" i="1"/>
</calcChain>
</file>

<file path=xl/sharedStrings.xml><?xml version="1.0" encoding="utf-8"?>
<sst xmlns="http://schemas.openxmlformats.org/spreadsheetml/2006/main" count="98" uniqueCount="30">
  <si>
    <t>Persentase Selisih DRL Nasional dan Nilai Tipikal Dosis</t>
  </si>
  <si>
    <t xml:space="preserve">Tahun </t>
  </si>
  <si>
    <t>Prosedur Pemeriksaan</t>
  </si>
  <si>
    <t>Tipikal Dosis</t>
  </si>
  <si>
    <t>IDRL</t>
  </si>
  <si>
    <t xml:space="preserve">Selisih </t>
  </si>
  <si>
    <t>SPM</t>
  </si>
  <si>
    <t>SPM Viability</t>
  </si>
  <si>
    <t>Bone Scan</t>
  </si>
  <si>
    <t>SST</t>
  </si>
  <si>
    <t>Thyroid Scan</t>
  </si>
  <si>
    <t>Indikator</t>
  </si>
  <si>
    <t>GFR &amp; Renogram</t>
  </si>
  <si>
    <t>Pembahasan</t>
  </si>
  <si>
    <t>Aman</t>
  </si>
  <si>
    <t>Atas IDRL</t>
  </si>
  <si>
    <t>Bawah IDRL</t>
  </si>
  <si>
    <t>Evaluasi citra</t>
  </si>
  <si>
    <t>Persentase (%)</t>
  </si>
  <si>
    <t>Nilai persentase toleransi 20%</t>
  </si>
  <si>
    <t>Persentase dari IDRL</t>
  </si>
  <si>
    <t>Tahun</t>
  </si>
  <si>
    <t>Selisih</t>
  </si>
  <si>
    <t>Keadaan</t>
  </si>
  <si>
    <t>WBS Scan</t>
  </si>
  <si>
    <t>Di atas I-DRL</t>
  </si>
  <si>
    <t>Di bawah I-DRL</t>
  </si>
  <si>
    <t>Nilai Toleransi (%)</t>
  </si>
  <si>
    <t>Persentase (%) dari I-DRL</t>
  </si>
  <si>
    <t>I-DRL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</si>
</sst>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A7BF2-4ADB-4E95-BA86-DAF88BE889D6}">
  <dimension ref="A1:K31"/>
  <sheetViews>
    <sheetView tabSelected="1" topLeftCell="A12" zoomScale="108" workbookViewId="0">
      <selection activeCell="L21" sqref="L21"/>
    </sheetView>
  </sheetViews>
  <sheetFormatPr defaultRowHeight="14.4" x14ac:dyDescent="0.3"/>
  <cols>
    <col min="1" max="1" width="7.33203125" bestFit="1" customWidth="1"/>
    <col min="2" max="2" width="23.21875" bestFit="1" customWidth="1"/>
    <col min="3" max="3" width="13.88671875" bestFit="1" customWidth="1"/>
    <col min="4" max="4" width="7.33203125" bestFit="1" customWidth="1"/>
    <col min="5" max="5" width="14.21875" bestFit="1" customWidth="1"/>
    <col min="6" max="6" width="16" bestFit="1" customWidth="1"/>
    <col min="7" max="7" width="27.6640625" bestFit="1" customWidth="1"/>
    <col min="8" max="8" width="20" bestFit="1" customWidth="1"/>
    <col min="9" max="9" width="13.44140625" bestFit="1" customWidth="1"/>
  </cols>
  <sheetData>
    <row r="1" spans="1:11" x14ac:dyDescent="0.3">
      <c r="A1" t="s">
        <v>0</v>
      </c>
    </row>
    <row r="2" spans="1:1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11</v>
      </c>
      <c r="G2" s="2" t="s">
        <v>18</v>
      </c>
      <c r="H2" s="2" t="s">
        <v>20</v>
      </c>
      <c r="I2" s="2" t="s">
        <v>13</v>
      </c>
      <c r="K2" s="3" t="s">
        <v>19</v>
      </c>
    </row>
    <row r="3" spans="1:11" x14ac:dyDescent="0.3">
      <c r="A3" s="1">
        <v>2022</v>
      </c>
      <c r="B3" s="1" t="s">
        <v>8</v>
      </c>
      <c r="C3" s="1">
        <v>653.58876263536729</v>
      </c>
      <c r="D3" s="1">
        <v>770</v>
      </c>
      <c r="E3" s="1">
        <f t="shared" ref="E3:E15" si="0">D3-C3</f>
        <v>116.41123736463271</v>
      </c>
      <c r="F3" s="1" t="s">
        <v>16</v>
      </c>
      <c r="G3" s="1">
        <f>((D3-C3)/D3)*100</f>
        <v>15.118342514887365</v>
      </c>
      <c r="H3" s="4">
        <v>0.15</v>
      </c>
      <c r="I3" s="1" t="s">
        <v>14</v>
      </c>
    </row>
    <row r="4" spans="1:11" x14ac:dyDescent="0.3">
      <c r="A4" s="1"/>
      <c r="B4" s="1" t="s">
        <v>9</v>
      </c>
      <c r="C4" s="1">
        <v>754.42602424265215</v>
      </c>
      <c r="D4" s="1">
        <v>1030</v>
      </c>
      <c r="E4" s="1">
        <f>D4-C4</f>
        <v>275.57397575734785</v>
      </c>
      <c r="F4" s="1" t="s">
        <v>16</v>
      </c>
      <c r="G4" s="1">
        <f t="shared" ref="G4:G15" si="1">((D4-C4)/D4)*100</f>
        <v>26.754754927897849</v>
      </c>
      <c r="H4" s="5">
        <v>0.26750000000000002</v>
      </c>
      <c r="I4" s="1" t="s">
        <v>17</v>
      </c>
    </row>
    <row r="5" spans="1:11" x14ac:dyDescent="0.3">
      <c r="A5" s="1">
        <v>2023</v>
      </c>
      <c r="B5" s="1" t="s">
        <v>8</v>
      </c>
      <c r="C5" s="1">
        <v>634.91479798864248</v>
      </c>
      <c r="D5" s="1">
        <v>770</v>
      </c>
      <c r="E5" s="1">
        <f>D5-C5</f>
        <v>135.08520201135752</v>
      </c>
      <c r="F5" s="1" t="s">
        <v>16</v>
      </c>
      <c r="G5" s="1">
        <f t="shared" si="1"/>
        <v>17.543532728747728</v>
      </c>
      <c r="H5" s="5">
        <v>0.17599999999999999</v>
      </c>
      <c r="I5" s="1" t="s">
        <v>14</v>
      </c>
    </row>
    <row r="6" spans="1:11" x14ac:dyDescent="0.3">
      <c r="A6" s="1"/>
      <c r="B6" s="1" t="s">
        <v>6</v>
      </c>
      <c r="C6" s="1">
        <v>1416.0986412127199</v>
      </c>
      <c r="D6" s="1">
        <v>1260</v>
      </c>
      <c r="E6" s="1">
        <f>D6-C6</f>
        <v>-156.09864121271994</v>
      </c>
      <c r="F6" s="1" t="s">
        <v>15</v>
      </c>
      <c r="G6" s="1">
        <f t="shared" si="1"/>
        <v>-12.388781048628566</v>
      </c>
      <c r="H6" s="5">
        <v>0.124</v>
      </c>
      <c r="I6" s="1" t="s">
        <v>14</v>
      </c>
    </row>
    <row r="7" spans="1:11" x14ac:dyDescent="0.3">
      <c r="A7" s="1"/>
      <c r="B7" s="1" t="s">
        <v>7</v>
      </c>
      <c r="C7" s="1">
        <v>379.83477316553029</v>
      </c>
      <c r="D7" s="1">
        <v>410</v>
      </c>
      <c r="E7" s="1">
        <f t="shared" si="0"/>
        <v>30.165226834469706</v>
      </c>
      <c r="F7" s="1" t="s">
        <v>16</v>
      </c>
      <c r="G7" s="1">
        <f t="shared" si="1"/>
        <v>7.3573723986511474</v>
      </c>
      <c r="H7" s="5">
        <v>7.3499999999999996E-2</v>
      </c>
      <c r="I7" s="1" t="s">
        <v>14</v>
      </c>
    </row>
    <row r="8" spans="1:11" x14ac:dyDescent="0.3">
      <c r="A8" s="1"/>
      <c r="B8" s="1" t="s">
        <v>9</v>
      </c>
      <c r="C8" s="1">
        <v>740.45517194186232</v>
      </c>
      <c r="D8" s="1">
        <v>1030</v>
      </c>
      <c r="E8" s="1">
        <f t="shared" si="0"/>
        <v>289.54482805813768</v>
      </c>
      <c r="F8" s="1" t="s">
        <v>16</v>
      </c>
      <c r="G8" s="1">
        <f t="shared" si="1"/>
        <v>28.111148355158999</v>
      </c>
      <c r="H8" s="4">
        <v>0.28000000000000003</v>
      </c>
      <c r="I8" s="1" t="s">
        <v>17</v>
      </c>
    </row>
    <row r="9" spans="1:11" x14ac:dyDescent="0.3">
      <c r="A9" s="1"/>
      <c r="B9" s="1" t="s">
        <v>10</v>
      </c>
      <c r="C9" s="1">
        <v>175.01000000000002</v>
      </c>
      <c r="D9" s="1">
        <v>170</v>
      </c>
      <c r="E9" s="1">
        <f t="shared" si="0"/>
        <v>-5.0100000000000193</v>
      </c>
      <c r="F9" s="1" t="s">
        <v>15</v>
      </c>
      <c r="G9" s="1">
        <f t="shared" si="1"/>
        <v>-2.9470588235294231</v>
      </c>
      <c r="H9" s="5">
        <v>2.9499999999999998E-2</v>
      </c>
      <c r="I9" s="1" t="s">
        <v>14</v>
      </c>
    </row>
    <row r="10" spans="1:11" x14ac:dyDescent="0.3">
      <c r="A10" s="1">
        <v>2024</v>
      </c>
      <c r="B10" s="1" t="s">
        <v>8</v>
      </c>
      <c r="C10" s="1">
        <v>635.13076355148405</v>
      </c>
      <c r="D10" s="1">
        <v>770</v>
      </c>
      <c r="E10" s="1">
        <f t="shared" si="0"/>
        <v>134.86923644851595</v>
      </c>
      <c r="F10" s="1" t="s">
        <v>16</v>
      </c>
      <c r="G10" s="1">
        <f t="shared" si="1"/>
        <v>17.51548525305402</v>
      </c>
      <c r="H10" s="5">
        <v>0.17499999999999999</v>
      </c>
      <c r="I10" s="1" t="s">
        <v>14</v>
      </c>
    </row>
    <row r="11" spans="1:11" x14ac:dyDescent="0.3">
      <c r="A11" s="1"/>
      <c r="B11" s="1" t="s">
        <v>12</v>
      </c>
      <c r="C11" s="1">
        <v>190.55</v>
      </c>
      <c r="D11" s="1">
        <v>200</v>
      </c>
      <c r="E11" s="1">
        <f t="shared" si="0"/>
        <v>9.4499999999999886</v>
      </c>
      <c r="F11" s="1" t="s">
        <v>16</v>
      </c>
      <c r="G11" s="1">
        <f t="shared" si="1"/>
        <v>4.7249999999999943</v>
      </c>
      <c r="H11" s="5">
        <v>4.7500000000000001E-2</v>
      </c>
      <c r="I11" s="1" t="s">
        <v>14</v>
      </c>
    </row>
    <row r="12" spans="1:11" x14ac:dyDescent="0.3">
      <c r="A12" s="1"/>
      <c r="B12" s="1" t="s">
        <v>6</v>
      </c>
      <c r="C12" s="1">
        <v>1408.078095690053</v>
      </c>
      <c r="D12" s="1">
        <v>1260</v>
      </c>
      <c r="E12" s="1">
        <f t="shared" si="0"/>
        <v>-148.07809569005303</v>
      </c>
      <c r="F12" s="1" t="s">
        <v>15</v>
      </c>
      <c r="G12" s="1">
        <f t="shared" si="1"/>
        <v>-11.752229816670875</v>
      </c>
      <c r="H12" s="5">
        <v>0.11749999999999999</v>
      </c>
      <c r="I12" s="1" t="s">
        <v>14</v>
      </c>
    </row>
    <row r="13" spans="1:11" x14ac:dyDescent="0.3">
      <c r="A13" s="1"/>
      <c r="B13" s="1" t="s">
        <v>7</v>
      </c>
      <c r="C13" s="1">
        <v>381.1</v>
      </c>
      <c r="D13" s="1">
        <v>410</v>
      </c>
      <c r="E13" s="1">
        <f t="shared" si="0"/>
        <v>28.899999999999977</v>
      </c>
      <c r="F13" s="1" t="s">
        <v>16</v>
      </c>
      <c r="G13" s="1">
        <f t="shared" si="1"/>
        <v>7.0487804878048719</v>
      </c>
      <c r="H13" s="4">
        <v>7.0000000000000007E-2</v>
      </c>
      <c r="I13" s="1" t="s">
        <v>14</v>
      </c>
    </row>
    <row r="14" spans="1:11" x14ac:dyDescent="0.3">
      <c r="A14" s="1"/>
      <c r="B14" s="1" t="s">
        <v>9</v>
      </c>
      <c r="C14" s="1">
        <v>725.91645950218106</v>
      </c>
      <c r="D14" s="1">
        <v>1030</v>
      </c>
      <c r="E14" s="1">
        <f t="shared" si="0"/>
        <v>304.08354049781894</v>
      </c>
      <c r="F14" s="1" t="s">
        <v>16</v>
      </c>
      <c r="G14" s="1">
        <f t="shared" si="1"/>
        <v>29.522673834739706</v>
      </c>
      <c r="H14" s="5">
        <v>0.29520000000000002</v>
      </c>
      <c r="I14" s="1" t="s">
        <v>17</v>
      </c>
    </row>
    <row r="15" spans="1:11" x14ac:dyDescent="0.3">
      <c r="A15" s="1"/>
      <c r="B15" s="1" t="s">
        <v>10</v>
      </c>
      <c r="C15" s="1">
        <v>142.27318798267311</v>
      </c>
      <c r="D15" s="1">
        <v>170</v>
      </c>
      <c r="E15" s="1">
        <f t="shared" si="0"/>
        <v>27.726812017326893</v>
      </c>
      <c r="F15" s="1" t="s">
        <v>16</v>
      </c>
      <c r="G15" s="1">
        <f t="shared" si="1"/>
        <v>16.309889421956996</v>
      </c>
      <c r="H15" s="5">
        <v>0.16300000000000001</v>
      </c>
      <c r="I15" s="1" t="s">
        <v>14</v>
      </c>
    </row>
    <row r="18" spans="1:9" s="10" customFormat="1" ht="15.6" x14ac:dyDescent="0.3">
      <c r="A18" s="8" t="s">
        <v>21</v>
      </c>
      <c r="B18" s="9" t="s">
        <v>2</v>
      </c>
      <c r="C18" s="8" t="s">
        <v>3</v>
      </c>
      <c r="D18" s="8" t="s">
        <v>29</v>
      </c>
      <c r="E18" s="8" t="s">
        <v>22</v>
      </c>
      <c r="F18" s="9" t="s">
        <v>23</v>
      </c>
      <c r="G18" s="8" t="s">
        <v>28</v>
      </c>
      <c r="H18" s="9" t="s">
        <v>27</v>
      </c>
      <c r="I18" s="9" t="s">
        <v>11</v>
      </c>
    </row>
    <row r="19" spans="1:9" ht="15.6" x14ac:dyDescent="0.3">
      <c r="A19" s="7">
        <v>2022</v>
      </c>
      <c r="B19" s="7" t="s">
        <v>8</v>
      </c>
      <c r="C19" s="7">
        <v>653.58876263536729</v>
      </c>
      <c r="D19" s="7">
        <v>770</v>
      </c>
      <c r="E19" s="7">
        <f>D19-C19</f>
        <v>116.41123736463271</v>
      </c>
      <c r="F19" s="6" t="s">
        <v>26</v>
      </c>
      <c r="G19" s="7">
        <f>((D19-C19)/D19)*100</f>
        <v>15.118342514887365</v>
      </c>
      <c r="H19" s="6">
        <v>20</v>
      </c>
      <c r="I19" s="6" t="s">
        <v>14</v>
      </c>
    </row>
    <row r="20" spans="1:9" ht="15.6" x14ac:dyDescent="0.3">
      <c r="A20" s="7"/>
      <c r="B20" s="7" t="s">
        <v>24</v>
      </c>
      <c r="C20" s="7">
        <v>754.42602424265215</v>
      </c>
      <c r="D20" s="7">
        <v>1030</v>
      </c>
      <c r="E20" s="7">
        <f t="shared" ref="E20:E31" si="2">D20-C20</f>
        <v>275.57397575734785</v>
      </c>
      <c r="F20" s="6" t="s">
        <v>26</v>
      </c>
      <c r="G20" s="7">
        <f t="shared" ref="G20:G31" si="3">((D20-C20)/D20)*100</f>
        <v>26.754754927897849</v>
      </c>
      <c r="H20" s="6">
        <v>20</v>
      </c>
      <c r="I20" s="7" t="s">
        <v>17</v>
      </c>
    </row>
    <row r="21" spans="1:9" ht="15.6" x14ac:dyDescent="0.3">
      <c r="A21" s="7">
        <v>2023</v>
      </c>
      <c r="B21" s="7" t="s">
        <v>8</v>
      </c>
      <c r="C21" s="7">
        <v>634.91479798864248</v>
      </c>
      <c r="D21" s="7">
        <v>770</v>
      </c>
      <c r="E21" s="7">
        <f t="shared" si="2"/>
        <v>135.08520201135752</v>
      </c>
      <c r="F21" s="6" t="s">
        <v>26</v>
      </c>
      <c r="G21" s="7">
        <f t="shared" si="3"/>
        <v>17.543532728747728</v>
      </c>
      <c r="H21" s="6">
        <v>20</v>
      </c>
      <c r="I21" s="6" t="s">
        <v>14</v>
      </c>
    </row>
    <row r="22" spans="1:9" ht="15.6" x14ac:dyDescent="0.3">
      <c r="A22" s="7"/>
      <c r="B22" s="7" t="s">
        <v>6</v>
      </c>
      <c r="C22" s="7">
        <v>1416.0986412127199</v>
      </c>
      <c r="D22" s="7">
        <v>1260</v>
      </c>
      <c r="E22" s="7">
        <f t="shared" si="2"/>
        <v>-156.09864121271994</v>
      </c>
      <c r="F22" s="6" t="s">
        <v>25</v>
      </c>
      <c r="G22" s="7">
        <f>((C22-D22)/D22)*100</f>
        <v>12.388781048628566</v>
      </c>
      <c r="H22" s="6">
        <v>20</v>
      </c>
      <c r="I22" s="6" t="s">
        <v>14</v>
      </c>
    </row>
    <row r="23" spans="1:9" ht="15.6" x14ac:dyDescent="0.3">
      <c r="A23" s="7"/>
      <c r="B23" s="7" t="s">
        <v>7</v>
      </c>
      <c r="C23" s="7">
        <v>379.83477316553029</v>
      </c>
      <c r="D23" s="7">
        <v>410</v>
      </c>
      <c r="E23" s="7">
        <f t="shared" si="2"/>
        <v>30.165226834469706</v>
      </c>
      <c r="F23" s="6" t="s">
        <v>26</v>
      </c>
      <c r="G23" s="7">
        <f t="shared" si="3"/>
        <v>7.3573723986511474</v>
      </c>
      <c r="H23" s="6">
        <v>20</v>
      </c>
      <c r="I23" s="6" t="s">
        <v>14</v>
      </c>
    </row>
    <row r="24" spans="1:9" ht="15.6" x14ac:dyDescent="0.3">
      <c r="A24" s="7"/>
      <c r="B24" s="7" t="s">
        <v>24</v>
      </c>
      <c r="C24" s="7">
        <v>740.45517194186232</v>
      </c>
      <c r="D24" s="7">
        <v>1030</v>
      </c>
      <c r="E24" s="7">
        <f t="shared" si="2"/>
        <v>289.54482805813768</v>
      </c>
      <c r="F24" s="6" t="s">
        <v>26</v>
      </c>
      <c r="G24" s="7">
        <f t="shared" si="3"/>
        <v>28.111148355158999</v>
      </c>
      <c r="H24" s="6">
        <v>20</v>
      </c>
      <c r="I24" s="6" t="s">
        <v>17</v>
      </c>
    </row>
    <row r="25" spans="1:9" ht="15.6" x14ac:dyDescent="0.3">
      <c r="A25" s="7"/>
      <c r="B25" s="7" t="s">
        <v>10</v>
      </c>
      <c r="C25" s="7">
        <v>175.01000000000002</v>
      </c>
      <c r="D25" s="7">
        <v>170</v>
      </c>
      <c r="E25" s="7">
        <f t="shared" si="2"/>
        <v>-5.0100000000000193</v>
      </c>
      <c r="F25" s="6" t="s">
        <v>25</v>
      </c>
      <c r="G25" s="7">
        <f>((C25-D25)/D25)*100</f>
        <v>2.9470588235294231</v>
      </c>
      <c r="H25" s="6">
        <v>20</v>
      </c>
      <c r="I25" s="6" t="s">
        <v>14</v>
      </c>
    </row>
    <row r="26" spans="1:9" ht="15.6" x14ac:dyDescent="0.3">
      <c r="A26" s="7">
        <v>2024</v>
      </c>
      <c r="B26" s="7" t="s">
        <v>8</v>
      </c>
      <c r="C26" s="7">
        <v>635.13076355148405</v>
      </c>
      <c r="D26" s="7">
        <v>770</v>
      </c>
      <c r="E26" s="7">
        <f t="shared" si="2"/>
        <v>134.86923644851595</v>
      </c>
      <c r="F26" s="6" t="s">
        <v>26</v>
      </c>
      <c r="G26" s="7">
        <f t="shared" si="3"/>
        <v>17.51548525305402</v>
      </c>
      <c r="H26" s="6">
        <v>20</v>
      </c>
      <c r="I26" s="6" t="s">
        <v>14</v>
      </c>
    </row>
    <row r="27" spans="1:9" ht="15.6" x14ac:dyDescent="0.3">
      <c r="A27" s="7"/>
      <c r="B27" s="7" t="s">
        <v>12</v>
      </c>
      <c r="C27" s="7">
        <v>190.55</v>
      </c>
      <c r="D27" s="7">
        <v>200</v>
      </c>
      <c r="E27" s="7">
        <f t="shared" si="2"/>
        <v>9.4499999999999886</v>
      </c>
      <c r="F27" s="6" t="s">
        <v>26</v>
      </c>
      <c r="G27" s="7">
        <f t="shared" si="3"/>
        <v>4.7249999999999943</v>
      </c>
      <c r="H27" s="6">
        <v>20</v>
      </c>
      <c r="I27" s="6" t="s">
        <v>14</v>
      </c>
    </row>
    <row r="28" spans="1:9" ht="15.6" x14ac:dyDescent="0.3">
      <c r="A28" s="7"/>
      <c r="B28" s="7" t="s">
        <v>6</v>
      </c>
      <c r="C28" s="7">
        <v>1408.078095690053</v>
      </c>
      <c r="D28" s="7">
        <v>1260</v>
      </c>
      <c r="E28" s="7">
        <f t="shared" si="2"/>
        <v>-148.07809569005303</v>
      </c>
      <c r="F28" s="6" t="s">
        <v>25</v>
      </c>
      <c r="G28" s="7">
        <f>((C28-D28)/D28)*100</f>
        <v>11.752229816670875</v>
      </c>
      <c r="H28" s="6">
        <v>20</v>
      </c>
      <c r="I28" s="6" t="s">
        <v>14</v>
      </c>
    </row>
    <row r="29" spans="1:9" ht="15.6" x14ac:dyDescent="0.3">
      <c r="A29" s="7"/>
      <c r="B29" s="7" t="s">
        <v>7</v>
      </c>
      <c r="C29" s="7">
        <v>381.1</v>
      </c>
      <c r="D29" s="7">
        <v>410</v>
      </c>
      <c r="E29" s="7">
        <f t="shared" si="2"/>
        <v>28.899999999999977</v>
      </c>
      <c r="F29" s="6" t="s">
        <v>26</v>
      </c>
      <c r="G29" s="7">
        <f t="shared" si="3"/>
        <v>7.0487804878048719</v>
      </c>
      <c r="H29" s="6">
        <v>20</v>
      </c>
      <c r="I29" s="6" t="s">
        <v>14</v>
      </c>
    </row>
    <row r="30" spans="1:9" ht="15.6" x14ac:dyDescent="0.3">
      <c r="A30" s="7"/>
      <c r="B30" s="7" t="s">
        <v>24</v>
      </c>
      <c r="C30" s="7">
        <v>725.91645950218106</v>
      </c>
      <c r="D30" s="7">
        <v>1030</v>
      </c>
      <c r="E30" s="7">
        <f t="shared" si="2"/>
        <v>304.08354049781894</v>
      </c>
      <c r="F30" s="6" t="s">
        <v>26</v>
      </c>
      <c r="G30" s="7">
        <f t="shared" si="3"/>
        <v>29.522673834739706</v>
      </c>
      <c r="H30" s="6">
        <v>20</v>
      </c>
      <c r="I30" s="6" t="s">
        <v>17</v>
      </c>
    </row>
    <row r="31" spans="1:9" ht="15.6" x14ac:dyDescent="0.3">
      <c r="A31" s="7"/>
      <c r="B31" s="7" t="s">
        <v>10</v>
      </c>
      <c r="C31" s="7">
        <v>142.27318798267311</v>
      </c>
      <c r="D31" s="7">
        <v>170</v>
      </c>
      <c r="E31" s="7">
        <f t="shared" si="2"/>
        <v>27.726812017326893</v>
      </c>
      <c r="F31" s="6" t="s">
        <v>26</v>
      </c>
      <c r="G31" s="7">
        <f t="shared" si="3"/>
        <v>16.309889421956996</v>
      </c>
      <c r="H31" s="6">
        <v>20</v>
      </c>
      <c r="I31" s="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Safit</dc:creator>
  <cp:lastModifiedBy>Ann Safit</cp:lastModifiedBy>
  <dcterms:created xsi:type="dcterms:W3CDTF">2025-06-19T02:01:20Z</dcterms:created>
  <dcterms:modified xsi:type="dcterms:W3CDTF">2025-07-14T18:49:02Z</dcterms:modified>
</cp:coreProperties>
</file>